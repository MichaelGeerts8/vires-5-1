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D:\working\waccache\AM4PEPF000078C6\EXCELCNV\6cc805d7-b6ec-4a44-8430-aa419ca64836\"/>
    </mc:Choice>
  </mc:AlternateContent>
  <xr:revisionPtr revIDLastSave="0" documentId="8_{EC93E1FB-9E2E-41E5-B484-9D06A11D2BC1}" xr6:coauthVersionLast="47" xr6:coauthVersionMax="47" xr10:uidLastSave="{00000000-0000-0000-0000-000000000000}"/>
  <bookViews>
    <workbookView xWindow="-60" yWindow="-60" windowWidth="15480" windowHeight="11640" tabRatio="593" xr2:uid="{10661DA4-4631-4A04-8FD4-25136A7D3D46}"/>
  </bookViews>
  <sheets>
    <sheet name="Blad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20" i="1"/>
  <c r="G20" i="1"/>
  <c r="F21" i="1"/>
  <c r="H20" i="1" s="1"/>
  <c r="G21" i="1"/>
  <c r="F22" i="1"/>
  <c r="H21" i="1" s="1"/>
  <c r="G22" i="1"/>
  <c r="F23" i="1"/>
  <c r="H22" i="1" s="1"/>
  <c r="G23" i="1"/>
  <c r="F24" i="1"/>
  <c r="H23" i="1" s="1"/>
  <c r="G24" i="1"/>
  <c r="H24" i="1"/>
  <c r="H38" i="1"/>
  <c r="H39" i="1"/>
  <c r="H40" i="1"/>
  <c r="H41" i="1"/>
</calcChain>
</file>

<file path=xl/sharedStrings.xml><?xml version="1.0" encoding="utf-8"?>
<sst xmlns="http://schemas.openxmlformats.org/spreadsheetml/2006/main" count="41" uniqueCount="37">
  <si>
    <t>A.Stok</t>
  </si>
  <si>
    <t>Terbeeksestraat 2A</t>
  </si>
  <si>
    <t>2321 Meer</t>
  </si>
  <si>
    <t>België</t>
  </si>
  <si>
    <t>Vires-5.com</t>
  </si>
  <si>
    <t>FACTURATIE ADRES:</t>
  </si>
  <si>
    <t>Arie Stok</t>
  </si>
  <si>
    <t>PL 18835900052019000047170003</t>
  </si>
  <si>
    <t>2321 Meer Belgie</t>
  </si>
  <si>
    <t>NIP 2810100444</t>
  </si>
  <si>
    <t>PRO FORMA</t>
  </si>
  <si>
    <t>VERKOPER</t>
  </si>
  <si>
    <t>FACTUURNR.</t>
  </si>
  <si>
    <t>DATUM</t>
  </si>
  <si>
    <t>UW BTWNR.</t>
  </si>
  <si>
    <t>AANTAL</t>
  </si>
  <si>
    <t>OMSCHRIJVING</t>
  </si>
  <si>
    <t>PRIJS</t>
  </si>
  <si>
    <t>BTW 6%</t>
  </si>
  <si>
    <t>BTW 21%</t>
  </si>
  <si>
    <t>TOTAAL</t>
  </si>
  <si>
    <t>10 liter</t>
  </si>
  <si>
    <t>water</t>
  </si>
  <si>
    <t>alkaal</t>
  </si>
  <si>
    <t>verzending</t>
  </si>
  <si>
    <t>15 liter</t>
  </si>
  <si>
    <t>geproduceerd onder toelating</t>
  </si>
  <si>
    <t>BPR 528/2012</t>
  </si>
  <si>
    <t>lidnummer 101300</t>
  </si>
  <si>
    <t>BTW verlegd</t>
  </si>
  <si>
    <t>SUBTOTAAL</t>
  </si>
  <si>
    <t>TOTAAL EXCL. BTW</t>
  </si>
  <si>
    <t>Bij vragen over deze factuur kunt u contact opnemen met:</t>
  </si>
  <si>
    <t xml:space="preserve">BTW 21% </t>
  </si>
  <si>
    <t>+32 474 54 41 96</t>
  </si>
  <si>
    <t>WhatsApp</t>
  </si>
  <si>
    <t>TOTAAL INCL. 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</si>
</sst>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€ &quot;* #,##0.00_ ;_ &quot;€ &quot;* \-#,##0.00_ ;_ &quot;€ &quot;* \-??_ ;_ @_ "/>
    <numFmt numFmtId="165" formatCode="d\/mm\/yyyy"/>
    <numFmt numFmtId="166" formatCode="mm/dd/yy"/>
    <numFmt numFmtId="167" formatCode="#,##0.00\ [$€-813];\-#,##0.00\ [$€-813]"/>
    <numFmt numFmtId="168" formatCode="#,##0.00\ [$€-813];[Red]\-#,##0.00\ [$€-813]"/>
  </numFmts>
  <fonts count="15">
    <font>
      <sz val="10"/>
      <name val="Arial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1"/>
    </font>
    <font>
      <b/>
      <sz val="12"/>
      <color indexed="8"/>
      <name val="Arial Narrow"/>
      <family val="2"/>
      <charset val="1"/>
    </font>
    <font>
      <sz val="11"/>
      <color indexed="8"/>
      <name val="Arial Narrow"/>
      <family val="2"/>
      <charset val="1"/>
    </font>
    <font>
      <u/>
      <sz val="11"/>
      <color indexed="30"/>
      <name val="Arial Narrow"/>
      <family val="2"/>
      <charset val="1"/>
    </font>
    <font>
      <u/>
      <sz val="11"/>
      <color indexed="30"/>
      <name val="Calibri"/>
      <family val="2"/>
      <charset val="1"/>
    </font>
    <font>
      <b/>
      <sz val="10"/>
      <color indexed="8"/>
      <name val="Arial Narrow"/>
      <family val="2"/>
      <charset val="1"/>
    </font>
    <font>
      <sz val="10"/>
      <color indexed="8"/>
      <name val="Arial Narrow"/>
      <family val="2"/>
      <charset val="1"/>
    </font>
    <font>
      <sz val="24"/>
      <color indexed="62"/>
      <name val="Maiandra GD"/>
      <family val="2"/>
      <charset val="1"/>
    </font>
    <font>
      <sz val="10"/>
      <name val="Arial"/>
      <family val="2"/>
      <charset val="1"/>
    </font>
    <font>
      <sz val="13"/>
      <color indexed="8"/>
      <name val="Calibri"/>
      <family val="2"/>
      <charset val="204"/>
    </font>
    <font>
      <b/>
      <sz val="11"/>
      <color indexed="8"/>
      <name val="Arial Narrow"/>
      <family val="2"/>
      <charset val="1"/>
    </font>
    <font>
      <b/>
      <i/>
      <sz val="10"/>
      <color indexed="8"/>
      <name val="Arial Narrow"/>
      <family val="2"/>
      <charset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27"/>
      </patternFill>
    </fill>
    <fill>
      <patternFill patternType="solid">
        <fgColor indexed="9"/>
        <bgColor indexed="26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</borders>
  <cellStyleXfs count="6">
    <xf numFmtId="0" fontId="0" fillId="0" borderId="0"/>
    <xf numFmtId="0" fontId="6" fillId="0" borderId="0"/>
    <xf numFmtId="0" fontId="1" fillId="0" borderId="0"/>
    <xf numFmtId="164" fontId="2" fillId="0" borderId="0"/>
    <xf numFmtId="0" fontId="2" fillId="0" borderId="0"/>
    <xf numFmtId="0" fontId="10" fillId="0" borderId="0"/>
  </cellStyleXfs>
  <cellXfs count="56">
    <xf numFmtId="0" fontId="0" fillId="0" borderId="0" xfId="0"/>
    <xf numFmtId="0" fontId="2" fillId="0" borderId="0" xfId="4"/>
    <xf numFmtId="0" fontId="3" fillId="0" borderId="0" xfId="4" applyFont="1"/>
    <xf numFmtId="0" fontId="4" fillId="0" borderId="0" xfId="4" applyFont="1"/>
    <xf numFmtId="0" fontId="5" fillId="0" borderId="0" xfId="1" applyNumberFormat="1" applyFont="1" applyFill="1" applyBorder="1" applyAlignment="1" applyProtection="1"/>
    <xf numFmtId="0" fontId="8" fillId="0" borderId="0" xfId="2" applyFont="1"/>
    <xf numFmtId="0" fontId="7" fillId="0" borderId="0" xfId="2" applyFont="1" applyAlignment="1">
      <alignment horizontal="left" vertical="center"/>
    </xf>
    <xf numFmtId="0" fontId="4" fillId="0" borderId="0" xfId="2" applyFont="1"/>
    <xf numFmtId="166" fontId="10" fillId="0" borderId="0" xfId="5" applyNumberFormat="1"/>
    <xf numFmtId="0" fontId="4" fillId="3" borderId="2" xfId="2" applyFont="1" applyFill="1" applyBorder="1" applyAlignment="1">
      <alignment horizontal="center"/>
    </xf>
    <xf numFmtId="0" fontId="4" fillId="3" borderId="4" xfId="2" applyNumberFormat="1" applyFont="1" applyFill="1" applyBorder="1" applyAlignment="1">
      <alignment horizontal="center"/>
    </xf>
    <xf numFmtId="164" fontId="4" fillId="3" borderId="2" xfId="3" applyFont="1" applyFill="1" applyBorder="1" applyAlignment="1" applyProtection="1">
      <alignment horizontal="center"/>
    </xf>
    <xf numFmtId="0" fontId="4" fillId="3" borderId="2" xfId="2" applyNumberFormat="1" applyFont="1" applyFill="1" applyBorder="1"/>
    <xf numFmtId="0" fontId="11" fillId="0" borderId="5" xfId="2" applyFont="1" applyBorder="1" applyAlignment="1">
      <alignment horizontal="left"/>
    </xf>
    <xf numFmtId="167" fontId="4" fillId="3" borderId="4" xfId="2" applyNumberFormat="1" applyFont="1" applyFill="1" applyBorder="1" applyAlignment="1">
      <alignment horizontal="center"/>
    </xf>
    <xf numFmtId="168" fontId="4" fillId="3" borderId="4" xfId="2" applyNumberFormat="1" applyFont="1" applyFill="1" applyBorder="1" applyAlignment="1">
      <alignment horizontal="center"/>
    </xf>
    <xf numFmtId="168" fontId="4" fillId="3" borderId="2" xfId="2" applyNumberFormat="1" applyFont="1" applyFill="1" applyBorder="1"/>
    <xf numFmtId="0" fontId="11" fillId="0" borderId="6" xfId="2" applyFont="1" applyBorder="1" applyAlignment="1">
      <alignment horizontal="left"/>
    </xf>
    <xf numFmtId="0" fontId="11" fillId="0" borderId="7" xfId="2" applyFont="1" applyBorder="1" applyAlignment="1">
      <alignment horizontal="left"/>
    </xf>
    <xf numFmtId="0" fontId="11" fillId="0" borderId="0" xfId="2" applyFont="1" applyAlignment="1">
      <alignment horizontal="left"/>
    </xf>
    <xf numFmtId="0" fontId="4" fillId="3" borderId="8" xfId="2" applyFont="1" applyFill="1" applyBorder="1"/>
    <xf numFmtId="0" fontId="4" fillId="3" borderId="3" xfId="2" applyFont="1" applyFill="1" applyBorder="1"/>
    <xf numFmtId="0" fontId="4" fillId="3" borderId="4" xfId="2" applyFont="1" applyFill="1" applyBorder="1"/>
    <xf numFmtId="0" fontId="4" fillId="0" borderId="4" xfId="2" applyNumberFormat="1" applyFont="1" applyBorder="1" applyAlignment="1">
      <alignment horizontal="center"/>
    </xf>
    <xf numFmtId="0" fontId="4" fillId="0" borderId="2" xfId="2" applyNumberFormat="1" applyFont="1" applyBorder="1" applyAlignment="1">
      <alignment horizontal="center"/>
    </xf>
    <xf numFmtId="164" fontId="4" fillId="0" borderId="2" xfId="3" applyFont="1" applyFill="1" applyBorder="1" applyAlignment="1" applyProtection="1">
      <alignment horizontal="center"/>
    </xf>
    <xf numFmtId="0" fontId="4" fillId="0" borderId="2" xfId="2" applyNumberFormat="1" applyFont="1" applyBorder="1"/>
    <xf numFmtId="0" fontId="7" fillId="0" borderId="9" xfId="2" applyFont="1" applyBorder="1"/>
    <xf numFmtId="0" fontId="7" fillId="2" borderId="10" xfId="2" applyFont="1" applyFill="1" applyBorder="1"/>
    <xf numFmtId="0" fontId="13" fillId="2" borderId="2" xfId="2" applyNumberFormat="1" applyFont="1" applyFill="1" applyBorder="1" applyAlignment="1">
      <alignment horizontal="center"/>
    </xf>
    <xf numFmtId="164" fontId="13" fillId="2" borderId="2" xfId="3" applyFont="1" applyFill="1" applyBorder="1" applyAlignment="1" applyProtection="1">
      <alignment horizontal="center"/>
    </xf>
    <xf numFmtId="0" fontId="13" fillId="2" borderId="2" xfId="2" applyNumberFormat="1" applyFont="1" applyFill="1" applyBorder="1"/>
    <xf numFmtId="0" fontId="8" fillId="0" borderId="0" xfId="2" applyFont="1" applyAlignment="1">
      <alignment horizontal="left"/>
    </xf>
    <xf numFmtId="0" fontId="7" fillId="2" borderId="0" xfId="2" applyFont="1" applyFill="1"/>
    <xf numFmtId="168" fontId="8" fillId="2" borderId="2" xfId="2" applyNumberFormat="1" applyFont="1" applyFill="1" applyBorder="1"/>
    <xf numFmtId="0" fontId="7" fillId="0" borderId="0" xfId="2" applyFont="1"/>
    <xf numFmtId="0" fontId="7" fillId="0" borderId="0" xfId="2" applyFont="1" applyAlignment="1">
      <alignment horizontal="center"/>
    </xf>
    <xf numFmtId="0" fontId="7" fillId="0" borderId="0" xfId="2" applyFont="1" applyAlignment="1">
      <alignment vertical="center"/>
    </xf>
    <xf numFmtId="0" fontId="14" fillId="0" borderId="0" xfId="0" applyFont="1"/>
    <xf numFmtId="167" fontId="12" fillId="2" borderId="2" xfId="2" applyNumberFormat="1" applyFont="1" applyFill="1" applyBorder="1"/>
    <xf numFmtId="0" fontId="2" fillId="0" borderId="0" xfId="4" applyFill="1"/>
    <xf numFmtId="0" fontId="7" fillId="2" borderId="2" xfId="2" applyFont="1" applyFill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7" fillId="2" borderId="11" xfId="2" applyFont="1" applyFill="1" applyBorder="1" applyAlignment="1">
      <alignment horizontal="left"/>
    </xf>
    <xf numFmtId="0" fontId="7" fillId="2" borderId="11" xfId="2" applyFont="1" applyFill="1" applyBorder="1" applyAlignment="1">
      <alignment horizontal="left"/>
    </xf>
    <xf numFmtId="0" fontId="12" fillId="2" borderId="11" xfId="2" applyFont="1" applyFill="1" applyBorder="1" applyAlignment="1">
      <alignment horizontal="left"/>
    </xf>
    <xf numFmtId="0" fontId="12" fillId="3" borderId="2" xfId="2" applyFont="1" applyFill="1" applyBorder="1" applyAlignment="1"/>
    <xf numFmtId="0" fontId="4" fillId="3" borderId="2" xfId="2" applyFont="1" applyFill="1" applyBorder="1" applyAlignment="1"/>
    <xf numFmtId="0" fontId="4" fillId="0" borderId="2" xfId="2" applyFont="1" applyBorder="1" applyAlignment="1">
      <alignment horizontal="left"/>
    </xf>
    <xf numFmtId="0" fontId="4" fillId="0" borderId="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7" fillId="2" borderId="2" xfId="2" applyFont="1" applyFill="1" applyBorder="1" applyAlignment="1">
      <alignment horizontal="center"/>
    </xf>
    <xf numFmtId="0" fontId="4" fillId="3" borderId="2" xfId="2" applyFont="1" applyFill="1" applyBorder="1" applyAlignment="1">
      <alignment horizontal="left"/>
    </xf>
    <xf numFmtId="0" fontId="4" fillId="0" borderId="2" xfId="2" applyFont="1" applyBorder="1" applyAlignment="1"/>
    <xf numFmtId="0" fontId="7" fillId="0" borderId="0" xfId="2" applyFont="1" applyBorder="1" applyAlignment="1">
      <alignment horizontal="left" vertical="center"/>
    </xf>
    <xf numFmtId="165" fontId="9" fillId="0" borderId="1" xfId="2" applyNumberFormat="1" applyFont="1" applyBorder="1" applyAlignment="1">
      <alignment horizontal="left"/>
    </xf>
  </cellXfs>
  <cellStyles count="6">
    <cellStyle name="Excel Built-in Normal" xfId="5" xr:uid="{5027D565-01C3-4BED-8FA5-404FDEC5E090}"/>
    <cellStyle name="Excel Built-in Normal 1" xfId="4" xr:uid="{4F074C60-507D-4AA3-B850-9916BEA272FC}"/>
    <cellStyle name="Hyperlink" xfId="1" builtinId="8"/>
    <cellStyle name="Standaard" xfId="0" builtinId="0"/>
    <cellStyle name="Standaard 2" xfId="2" xr:uid="{34AB4AFE-E297-4638-AEDF-94593C79C9EC}"/>
    <cellStyle name="Valuta 2" xfId="3" xr:uid="{C97EF4DE-8C56-4555-82F9-34234E68B65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DAE3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59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5A2B-C893-480F-9EC0-F7B153835D16}">
  <dimension ref="A2:IV44"/>
  <sheetViews>
    <sheetView tabSelected="1" workbookViewId="0">
      <selection activeCell="H38" sqref="H38"/>
    </sheetView>
  </sheetViews>
  <sheetFormatPr defaultColWidth="8.7109375" defaultRowHeight="15"/>
  <cols>
    <col min="1" max="1" width="10.42578125" style="1" customWidth="1"/>
    <col min="2" max="3" width="8.7109375" style="1"/>
    <col min="4" max="4" width="12.5703125" style="1" customWidth="1"/>
    <col min="5" max="5" width="15.42578125" style="1" customWidth="1"/>
    <col min="6" max="6" width="9.28515625" style="1" customWidth="1"/>
    <col min="7" max="7" width="11.7109375" style="1" customWidth="1"/>
    <col min="8" max="8" width="10.85546875" style="1" customWidth="1"/>
    <col min="9" max="16384" width="8.7109375" style="1"/>
  </cols>
  <sheetData>
    <row r="2" spans="1:8" ht="16.5">
      <c r="G2" s="2" t="s">
        <v>0</v>
      </c>
      <c r="H2" s="3"/>
    </row>
    <row r="3" spans="1:8" ht="16.5">
      <c r="G3" s="3" t="s">
        <v>1</v>
      </c>
      <c r="H3" s="3"/>
    </row>
    <row r="4" spans="1:8" ht="16.5">
      <c r="G4" s="3" t="s">
        <v>2</v>
      </c>
      <c r="H4" s="3"/>
    </row>
    <row r="5" spans="1:8" ht="16.5">
      <c r="G5" s="3" t="s">
        <v>3</v>
      </c>
      <c r="H5" s="3"/>
    </row>
    <row r="6" spans="1:8" ht="16.5">
      <c r="G6" s="4" t="s">
        <v>4</v>
      </c>
      <c r="H6" s="3"/>
    </row>
    <row r="7" spans="1:8" ht="16.5">
      <c r="G7" s="3"/>
      <c r="H7" s="3"/>
    </row>
    <row r="8" spans="1:8" ht="16.5">
      <c r="H8" s="3"/>
    </row>
    <row r="9" spans="1:8">
      <c r="A9" s="54" t="s">
        <v>5</v>
      </c>
      <c r="B9" s="54"/>
      <c r="C9" s="54"/>
      <c r="D9" s="54"/>
      <c r="E9" s="54"/>
      <c r="H9" s="5"/>
    </row>
    <row r="10" spans="1:8" ht="16.5">
      <c r="A10" s="6" t="s">
        <v>6</v>
      </c>
      <c r="B10" s="6"/>
      <c r="C10" s="6"/>
      <c r="D10" s="6"/>
      <c r="E10" s="6"/>
      <c r="G10" s="7"/>
      <c r="H10" s="5"/>
    </row>
    <row r="11" spans="1:8" ht="16.5">
      <c r="A11" s="6" t="s">
        <v>1</v>
      </c>
      <c r="B11" s="6"/>
      <c r="C11" s="6"/>
      <c r="D11" s="6"/>
      <c r="E11" s="7" t="s">
        <v>7</v>
      </c>
      <c r="F11"/>
      <c r="G11" s="7"/>
      <c r="H11" s="5"/>
    </row>
    <row r="12" spans="1:8" ht="16.5">
      <c r="A12" s="6" t="s">
        <v>8</v>
      </c>
      <c r="B12" s="6"/>
      <c r="C12" s="6"/>
      <c r="D12" s="6"/>
      <c r="E12" s="3" t="s">
        <v>9</v>
      </c>
      <c r="G12" s="7"/>
      <c r="H12" s="5"/>
    </row>
    <row r="13" spans="1:8" ht="16.5">
      <c r="A13" s="4" t="s">
        <v>4</v>
      </c>
      <c r="B13" s="6"/>
      <c r="C13" s="6"/>
      <c r="D13" s="6"/>
      <c r="E13" s="6"/>
      <c r="G13" s="7"/>
      <c r="H13" s="5"/>
    </row>
    <row r="14" spans="1:8" ht="36" customHeight="1">
      <c r="A14" s="55" t="s">
        <v>10</v>
      </c>
      <c r="B14" s="55"/>
      <c r="C14" s="55"/>
      <c r="D14" s="55"/>
      <c r="E14" s="55"/>
      <c r="F14" s="55"/>
      <c r="G14" s="55"/>
      <c r="H14" s="55"/>
    </row>
    <row r="15" spans="1:8">
      <c r="A15" s="41" t="s">
        <v>11</v>
      </c>
      <c r="B15" s="51" t="s">
        <v>12</v>
      </c>
      <c r="C15" s="51"/>
      <c r="D15" s="51"/>
      <c r="E15" s="41" t="s">
        <v>13</v>
      </c>
      <c r="F15" s="51" t="s">
        <v>14</v>
      </c>
      <c r="G15" s="51"/>
      <c r="H15" s="51"/>
    </row>
    <row r="16" spans="1:8" ht="16.5">
      <c r="A16" s="42"/>
      <c r="B16" s="49"/>
      <c r="C16" s="49"/>
      <c r="D16" s="49"/>
      <c r="E16" s="8">
        <f ca="1">TODAY()</f>
        <v>45871</v>
      </c>
      <c r="F16" s="49"/>
      <c r="G16" s="49"/>
      <c r="H16" s="49"/>
    </row>
    <row r="17" spans="1:8" ht="16.5">
      <c r="A17" s="50"/>
      <c r="B17" s="50"/>
      <c r="C17" s="50"/>
      <c r="D17" s="50"/>
      <c r="E17" s="50"/>
      <c r="F17" s="50"/>
      <c r="G17" s="50"/>
      <c r="H17" s="50"/>
    </row>
    <row r="18" spans="1:8">
      <c r="A18" s="41" t="s">
        <v>15</v>
      </c>
      <c r="B18" s="51" t="s">
        <v>16</v>
      </c>
      <c r="C18" s="51"/>
      <c r="D18" s="51"/>
      <c r="E18" s="41" t="s">
        <v>17</v>
      </c>
      <c r="F18" s="41" t="s">
        <v>18</v>
      </c>
      <c r="G18" s="41" t="s">
        <v>19</v>
      </c>
      <c r="H18" s="41" t="s">
        <v>20</v>
      </c>
    </row>
    <row r="19" spans="1:8" ht="16.5">
      <c r="A19" s="9"/>
      <c r="B19" s="52"/>
      <c r="C19" s="52"/>
      <c r="D19" s="52"/>
      <c r="E19" s="10"/>
      <c r="F19" s="10"/>
      <c r="G19" s="11"/>
      <c r="H19" s="12"/>
    </row>
    <row r="20" spans="1:8" ht="17.25">
      <c r="A20" s="13">
        <v>10</v>
      </c>
      <c r="B20" s="52" t="s">
        <v>21</v>
      </c>
      <c r="C20" s="52"/>
      <c r="D20" s="52"/>
      <c r="E20" s="14">
        <v>1.44</v>
      </c>
      <c r="F20" s="15">
        <f>PRODUCT(E20,0.06)</f>
        <v>8.6399999999999991E-2</v>
      </c>
      <c r="G20" s="11">
        <f>PRODUCT(E20,0.21)</f>
        <v>0.3024</v>
      </c>
      <c r="H20" s="16">
        <f>SUM(PRODUCT(A20,E20),F20,F21)</f>
        <v>14.696399999999999</v>
      </c>
    </row>
    <row r="21" spans="1:8" ht="17.25">
      <c r="A21" s="17">
        <v>3</v>
      </c>
      <c r="B21" s="53" t="s">
        <v>22</v>
      </c>
      <c r="C21" s="53"/>
      <c r="D21" s="53"/>
      <c r="E21" s="14">
        <v>3.5</v>
      </c>
      <c r="F21" s="15">
        <f>PRODUCT(E21,0.06)</f>
        <v>0.21</v>
      </c>
      <c r="G21" s="11">
        <f>PRODUCT(E21,0.21)</f>
        <v>0.73499999999999999</v>
      </c>
      <c r="H21" s="16">
        <f>SUM(PRODUCT(A21,E21),F21,F22)</f>
        <v>11.13</v>
      </c>
    </row>
    <row r="22" spans="1:8" ht="17.25">
      <c r="A22" s="17">
        <v>5</v>
      </c>
      <c r="B22" s="52" t="s">
        <v>23</v>
      </c>
      <c r="C22" s="52"/>
      <c r="D22" s="52"/>
      <c r="E22" s="14">
        <v>7</v>
      </c>
      <c r="F22" s="15">
        <f>PRODUCT(E22,0.06)</f>
        <v>0.42</v>
      </c>
      <c r="G22" s="11">
        <f>PRODUCT(E22,0.21)</f>
        <v>1.47</v>
      </c>
      <c r="H22" s="16">
        <f>SUM(PRODUCT(A22,E22),F22,F23)</f>
        <v>36.050000000000004</v>
      </c>
    </row>
    <row r="23" spans="1:8" ht="17.25">
      <c r="A23" s="18">
        <v>7</v>
      </c>
      <c r="B23" s="47" t="s">
        <v>24</v>
      </c>
      <c r="C23" s="47"/>
      <c r="D23" s="47"/>
      <c r="E23" s="14">
        <v>10.5</v>
      </c>
      <c r="F23" s="15">
        <f>PRODUCT(E23,0.06)</f>
        <v>0.63</v>
      </c>
      <c r="G23" s="11">
        <f>PRODUCT(E23,0.21)</f>
        <v>2.2050000000000001</v>
      </c>
      <c r="H23" s="16">
        <f>SUM(PRODUCT(A23,E23),F23,F24)</f>
        <v>74.819999999999993</v>
      </c>
    </row>
    <row r="24" spans="1:8" ht="17.25">
      <c r="A24" s="19">
        <v>2</v>
      </c>
      <c r="B24" s="47" t="s">
        <v>25</v>
      </c>
      <c r="C24" s="47"/>
      <c r="D24" s="47"/>
      <c r="E24" s="14">
        <v>11.5</v>
      </c>
      <c r="F24" s="15">
        <f>PRODUCT(E24,0.06)</f>
        <v>0.69</v>
      </c>
      <c r="G24" s="11">
        <f>PRODUCT(E24,0.21)</f>
        <v>2.415</v>
      </c>
      <c r="H24" s="16">
        <f>SUM(PRODUCT(A24,E24),F24,F25)</f>
        <v>23.69</v>
      </c>
    </row>
    <row r="25" spans="1:8" ht="16.5">
      <c r="A25" s="9"/>
      <c r="B25" s="47"/>
      <c r="C25" s="47"/>
      <c r="D25" s="47"/>
      <c r="E25" s="10"/>
      <c r="F25" s="10"/>
      <c r="G25" s="11"/>
      <c r="H25" s="12"/>
    </row>
    <row r="26" spans="1:8" ht="16.5">
      <c r="A26" s="9"/>
      <c r="B26" s="47" t="s">
        <v>26</v>
      </c>
      <c r="C26" s="47"/>
      <c r="D26" s="47"/>
      <c r="E26" s="10"/>
      <c r="F26" s="10"/>
      <c r="G26" s="11"/>
      <c r="H26" s="12"/>
    </row>
    <row r="27" spans="1:8" ht="16.5">
      <c r="A27" s="9"/>
      <c r="B27" s="47" t="s">
        <v>27</v>
      </c>
      <c r="C27" s="47"/>
      <c r="D27" s="47"/>
      <c r="E27" s="10"/>
      <c r="F27" s="10"/>
      <c r="G27" s="11"/>
      <c r="H27" s="12"/>
    </row>
    <row r="28" spans="1:8" ht="16.5">
      <c r="A28" s="9"/>
      <c r="B28" s="20" t="s">
        <v>28</v>
      </c>
      <c r="C28" s="21"/>
      <c r="D28" s="22"/>
      <c r="E28" s="10"/>
      <c r="F28" s="10"/>
      <c r="G28" s="11"/>
      <c r="H28" s="12"/>
    </row>
    <row r="29" spans="1:8" ht="16.5">
      <c r="A29" s="9"/>
      <c r="B29" s="20"/>
      <c r="C29" s="21"/>
      <c r="D29" s="22"/>
      <c r="E29" s="10"/>
      <c r="F29" s="10"/>
      <c r="G29" s="11"/>
      <c r="H29" s="12"/>
    </row>
    <row r="30" spans="1:8" ht="16.5">
      <c r="A30" s="9"/>
      <c r="B30" s="20"/>
      <c r="C30" s="21"/>
      <c r="D30" s="22"/>
      <c r="E30" s="10"/>
      <c r="F30" s="10"/>
      <c r="G30" s="11"/>
      <c r="H30" s="12"/>
    </row>
    <row r="31" spans="1:8" ht="16.5">
      <c r="A31" s="9"/>
      <c r="B31" s="47"/>
      <c r="C31" s="47"/>
      <c r="D31" s="47"/>
      <c r="E31" s="10"/>
      <c r="F31" s="10"/>
      <c r="G31" s="11"/>
      <c r="H31" s="12"/>
    </row>
    <row r="32" spans="1:8" ht="16.5">
      <c r="A32" s="9"/>
      <c r="B32" s="46" t="s">
        <v>29</v>
      </c>
      <c r="C32" s="46"/>
      <c r="D32" s="46"/>
      <c r="E32" s="10"/>
      <c r="F32" s="10"/>
      <c r="G32" s="11"/>
      <c r="H32" s="12"/>
    </row>
    <row r="33" spans="1:256" ht="16.5">
      <c r="A33" s="9"/>
      <c r="B33" s="47"/>
      <c r="C33" s="47"/>
      <c r="D33" s="47"/>
      <c r="E33" s="10"/>
      <c r="F33" s="10"/>
      <c r="G33" s="11"/>
      <c r="H33" s="12"/>
    </row>
    <row r="34" spans="1:256" ht="16.5">
      <c r="A34" s="9"/>
      <c r="B34" s="47"/>
      <c r="C34" s="47"/>
      <c r="D34" s="47"/>
      <c r="E34" s="10"/>
      <c r="F34" s="10"/>
      <c r="G34" s="11"/>
      <c r="H34" s="12"/>
    </row>
    <row r="35" spans="1:256" ht="16.5">
      <c r="A35" s="42"/>
      <c r="B35" s="48"/>
      <c r="C35" s="48"/>
      <c r="D35" s="48"/>
      <c r="E35" s="23"/>
      <c r="F35" s="10"/>
      <c r="G35" s="11"/>
      <c r="H35" s="12"/>
    </row>
    <row r="36" spans="1:256" ht="16.5">
      <c r="A36" s="42"/>
      <c r="B36" s="49"/>
      <c r="C36" s="49"/>
      <c r="D36" s="49"/>
      <c r="E36" s="24"/>
      <c r="F36" s="23"/>
      <c r="G36" s="25"/>
      <c r="H36" s="26"/>
    </row>
    <row r="37" spans="1:256">
      <c r="A37" s="27"/>
      <c r="B37" s="27"/>
      <c r="C37" s="27"/>
      <c r="D37" s="27"/>
      <c r="E37" s="28" t="s">
        <v>30</v>
      </c>
      <c r="F37" s="29"/>
      <c r="G37" s="30"/>
      <c r="H37" s="31"/>
    </row>
    <row r="38" spans="1:256" ht="16.5">
      <c r="A38" s="7"/>
      <c r="B38" s="7"/>
      <c r="C38" s="7"/>
      <c r="D38" s="7"/>
      <c r="E38" s="32"/>
      <c r="F38" s="33" t="s">
        <v>31</v>
      </c>
      <c r="G38" s="43"/>
      <c r="H38" s="34">
        <f>SUM(H20:H21,H22,H23,H24)</f>
        <v>160.38639999999998</v>
      </c>
    </row>
    <row r="39" spans="1:256">
      <c r="A39" s="35"/>
      <c r="B39" s="36"/>
      <c r="C39" s="36"/>
      <c r="D39" s="36"/>
      <c r="E39" s="5"/>
      <c r="F39" s="44" t="s">
        <v>18</v>
      </c>
      <c r="G39" s="44"/>
      <c r="H39" s="34">
        <f>PRODUCT(H38,0.06)</f>
        <v>9.6231839999999984</v>
      </c>
    </row>
    <row r="40" spans="1:256">
      <c r="A40" s="37" t="s">
        <v>32</v>
      </c>
      <c r="B40" s="37"/>
      <c r="C40" s="37"/>
      <c r="D40" s="37"/>
      <c r="E40" s="5"/>
      <c r="F40" s="44" t="s">
        <v>33</v>
      </c>
      <c r="G40" s="44"/>
      <c r="H40" s="34">
        <f>PRODUCT(H38,0.21)</f>
        <v>33.681143999999996</v>
      </c>
    </row>
    <row r="41" spans="1:256" ht="16.5">
      <c r="A41" s="38" t="s">
        <v>6</v>
      </c>
      <c r="B41" s="38" t="s">
        <v>34</v>
      </c>
      <c r="C41"/>
      <c r="D41" s="37" t="s">
        <v>35</v>
      </c>
      <c r="E41" s="35"/>
      <c r="F41" s="45" t="s">
        <v>36</v>
      </c>
      <c r="G41" s="45"/>
      <c r="H41" s="39">
        <f>SUM(H38,H39,H40)</f>
        <v>203.69072799999998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 ht="16.5">
      <c r="F42" s="7"/>
      <c r="G42" s="7"/>
      <c r="H42" s="7"/>
    </row>
    <row r="43" spans="1:256" ht="16.5">
      <c r="A43" s="7"/>
      <c r="B43" s="5"/>
      <c r="C43" s="5"/>
      <c r="D43" s="5"/>
    </row>
    <row r="44" spans="1:256">
      <c r="A44" s="40"/>
      <c r="B44" s="40"/>
      <c r="C44" s="40"/>
    </row>
  </sheetData>
  <sheetProtection selectLockedCells="1" selectUnlockedCells="1"/>
  <mergeCells count="26">
    <mergeCell ref="A9:E9"/>
    <mergeCell ref="A14:H14"/>
    <mergeCell ref="B15:D15"/>
    <mergeCell ref="F15:H15"/>
    <mergeCell ref="B16:D16"/>
    <mergeCell ref="F16:H16"/>
    <mergeCell ref="B31:D31"/>
    <mergeCell ref="A17:H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F40:G40"/>
    <mergeCell ref="F41:G41"/>
    <mergeCell ref="B32:D32"/>
    <mergeCell ref="B33:D33"/>
    <mergeCell ref="B34:D34"/>
    <mergeCell ref="B35:D35"/>
    <mergeCell ref="B36:D36"/>
    <mergeCell ref="F39:G39"/>
  </mergeCells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2025-08-02T07:43:40Z</dcterms:created>
  <dcterms:modified xsi:type="dcterms:W3CDTF">2025-08-02T07:43:54Z</dcterms:modified>
  <cp:category/>
  <cp:contentStatus/>
</cp:coreProperties>
</file>